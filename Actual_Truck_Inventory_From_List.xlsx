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/>
  <xr:revisionPtr revIDLastSave="0" documentId="13_ncr:41000001_{EE97E312-8E5D-9D4A-812A-E465EF2688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 INVENTORY" sheetId="1" r:id="rId1"/>
    <sheet name="SHOPPING LIST" sheetId="2" r:id="rId2"/>
    <sheet name="HOME→TRUCK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<sst xmlns="http://schemas.openxmlformats.org/spreadsheetml/2006/main" count="362" uniqueCount="165">
  <si>
    <t>Item</t>
  </si>
  <si>
    <t>Category/Location</t>
  </si>
  <si>
    <t>Unit/Notes</t>
  </si>
  <si>
    <t>In Truck (current)</t>
  </si>
  <si>
    <t>In Home</t>
  </si>
  <si>
    <t>Target in Truck</t>
  </si>
  <si>
    <t>Target in Home</t>
  </si>
  <si>
    <t>Move Home → Truck (calc)</t>
  </si>
  <si>
    <t>Need to Buy (calc)</t>
  </si>
  <si>
    <t>Iced coffee bottle</t>
  </si>
  <si>
    <t>Food - Fridge</t>
  </si>
  <si>
    <t>bottle</t>
  </si>
  <si>
    <t>1</t>
  </si>
  <si>
    <t>Cold brew</t>
  </si>
  <si>
    <t>bottle (1.75)</t>
  </si>
  <si>
    <t>1.75</t>
  </si>
  <si>
    <t>Chocolate milk</t>
  </si>
  <si>
    <t>container (1.5)</t>
  </si>
  <si>
    <t>1.5</t>
  </si>
  <si>
    <t>Milk</t>
  </si>
  <si>
    <t>container (.75)</t>
  </si>
  <si>
    <t>0.75</t>
  </si>
  <si>
    <t>Egg carton mix</t>
  </si>
  <si>
    <t>carton</t>
  </si>
  <si>
    <t>Half and half</t>
  </si>
  <si>
    <t>Sliced cheese</t>
  </si>
  <si>
    <t>1.5 packs</t>
  </si>
  <si>
    <t>Apple juice</t>
  </si>
  <si>
    <t>Salsa</t>
  </si>
  <si>
    <t>12 ct</t>
  </si>
  <si>
    <t>12</t>
  </si>
  <si>
    <t>Sour cream</t>
  </si>
  <si>
    <t>~10</t>
  </si>
  <si>
    <t>Orange juice</t>
  </si>
  <si>
    <t>1.65</t>
  </si>
  <si>
    <t>Shredded cheese (bag)</t>
  </si>
  <si>
    <t>.5 bag</t>
  </si>
  <si>
    <t>0.5</t>
  </si>
  <si>
    <t>Shredded cheese (container)</t>
  </si>
  <si>
    <t>.5 container</t>
  </si>
  <si>
    <t>Bacon (bag)</t>
  </si>
  <si>
    <t>Small tortillas</t>
  </si>
  <si>
    <t>2.5 packs</t>
  </si>
  <si>
    <t>2.5</t>
  </si>
  <si>
    <t>Big tortillas</t>
  </si>
  <si>
    <t>1 pack</t>
  </si>
  <si>
    <t>Butter</t>
  </si>
  <si>
    <t>3 packs + 4 tbsp</t>
  </si>
  <si>
    <t>Waffles (loose)</t>
  </si>
  <si>
    <t>4</t>
  </si>
  <si>
    <t>Frozen bananas</t>
  </si>
  <si>
    <t>Food - Freezer</t>
  </si>
  <si>
    <t>2.75 bags</t>
  </si>
  <si>
    <t>2.75</t>
  </si>
  <si>
    <t>Frozen strawberries</t>
  </si>
  <si>
    <t>1.75 bags</t>
  </si>
  <si>
    <t>Frozen mango</t>
  </si>
  <si>
    <t>2 bags</t>
  </si>
  <si>
    <t>2</t>
  </si>
  <si>
    <t>Frozen pineapple</t>
  </si>
  <si>
    <t>Hashbrown patties</t>
  </si>
  <si>
    <t>1.5 bags</t>
  </si>
  <si>
    <t>Raw bacon pack</t>
  </si>
  <si>
    <t>Precooked bacon pack</t>
  </si>
  <si>
    <t>Sausage patties</t>
  </si>
  <si>
    <t>.5 huge bag</t>
  </si>
  <si>
    <t>Shredded cheese (frozen)</t>
  </si>
  <si>
    <t>1 bag</t>
  </si>
  <si>
    <t>Frozen waffles (bags)</t>
  </si>
  <si>
    <t>3 bags</t>
  </si>
  <si>
    <t>3</t>
  </si>
  <si>
    <t>Ice (container)</t>
  </si>
  <si>
    <t>full container</t>
  </si>
  <si>
    <t>full</t>
  </si>
  <si>
    <t>Blender thing</t>
  </si>
  <si>
    <t>Strawberry sauce</t>
  </si>
  <si>
    <t>Dry Storage - Food</t>
  </si>
  <si>
    <t>2 bottles</t>
  </si>
  <si>
    <t>Caramel sauce</t>
  </si>
  <si>
    <t>.5 huge</t>
  </si>
  <si>
    <t>Chocolate sauce</t>
  </si>
  <si>
    <t>Maple syrup</t>
  </si>
  <si>
    <t>Biscoff cookies</t>
  </si>
  <si>
    <t>3 packs</t>
  </si>
  <si>
    <t>Oreo packs</t>
  </si>
  <si>
    <t>6 packs</t>
  </si>
  <si>
    <t>6</t>
  </si>
  <si>
    <t>Gravy mix packs</t>
  </si>
  <si>
    <t>0</t>
  </si>
  <si>
    <t>Tea box</t>
  </si>
  <si>
    <t>1 box</t>
  </si>
  <si>
    <t>Seasonings (salt, seasoned salt, pepper, cinnamon)</t>
  </si>
  <si>
    <t>big containers</t>
  </si>
  <si>
    <t>Avocado oil</t>
  </si>
  <si>
    <t>Powdered sugar shaker</t>
  </si>
  <si>
    <t>Cinnamon sugar shaker</t>
  </si>
  <si>
    <t>Cinnamon sugar bag</t>
  </si>
  <si>
    <t>Hot sauces</t>
  </si>
  <si>
    <t>6 (need more)</t>
  </si>
  <si>
    <t>Coffee creamers (box)</t>
  </si>
  <si>
    <t>Vanilla flavor bottle</t>
  </si>
  <si>
    <t>1 bottle</t>
  </si>
  <si>
    <t>Caramel flavor bottle</t>
  </si>
  <si>
    <t>Hot cocoa powder</t>
  </si>
  <si>
    <t>~1 full container</t>
  </si>
  <si>
    <t>~1 full</t>
  </si>
  <si>
    <t>Bowls</t>
  </si>
  <si>
    <t>Supplies</t>
  </si>
  <si>
    <t>~10-15 (need)</t>
  </si>
  <si>
    <t>~10-15</t>
  </si>
  <si>
    <t>Bowl lids (need domed)</t>
  </si>
  <si>
    <t>Clear cup lids (.5 pack)</t>
  </si>
  <si>
    <t>.5 pack</t>
  </si>
  <si>
    <t>Big hot cup lids</t>
  </si>
  <si>
    <t>Napkin refill packs</t>
  </si>
  <si>
    <t>2 packs</t>
  </si>
  <si>
    <t>16 oz hot cups</t>
  </si>
  <si>
    <t>12 oz hot cups</t>
  </si>
  <si>
    <t>12 oz clear cups</t>
  </si>
  <si>
    <t>Small hot cup lids</t>
  </si>
  <si>
    <t>Coffee sleeves</t>
  </si>
  <si>
    <t>1 big pack</t>
  </si>
  <si>
    <t>Drink holders</t>
  </si>
  <si>
    <t>1 huge pack</t>
  </si>
  <si>
    <t>Smoothie straws</t>
  </si>
  <si>
    <t>Regular straws</t>
  </si>
  <si>
    <t>Wrapped straws</t>
  </si>
  <si>
    <t>Parchment paper box</t>
  </si>
  <si>
    <t>Paper plates (tiny stack)</t>
  </si>
  <si>
    <t>tiny stack</t>
  </si>
  <si>
    <t>Blue gloves</t>
  </si>
  <si>
    <t>Vinyl clear gloves</t>
  </si>
  <si>
    <t>Scrub mommies</t>
  </si>
  <si>
    <t>Scrub brush</t>
  </si>
  <si>
    <t>Lighters</t>
  </si>
  <si>
    <t>Matches</t>
  </si>
  <si>
    <t>Clear tape rolls</t>
  </si>
  <si>
    <t>Charger</t>
  </si>
  <si>
    <t>Sealing stickers roll</t>
  </si>
  <si>
    <t>1 roll</t>
  </si>
  <si>
    <t>Magic erasers</t>
  </si>
  <si>
    <t>Cleaning</t>
  </si>
  <si>
    <t>White towels (stack)</t>
  </si>
  <si>
    <t>stack</t>
  </si>
  <si>
    <t>Blue towels (.5 crate)</t>
  </si>
  <si>
    <t>.5 crate</t>
  </si>
  <si>
    <t>Wipes (pack)</t>
  </si>
  <si>
    <t>Simple Green Pro cleaner</t>
  </si>
  <si>
    <t>.75</t>
  </si>
  <si>
    <t>Sanitizer solution</t>
  </si>
  <si>
    <t>.85</t>
  </si>
  <si>
    <t>0.85</t>
  </si>
  <si>
    <t>Pink hand washing solution</t>
  </si>
  <si>
    <t>Garbage bags (need right size)</t>
  </si>
  <si>
    <t>Paper towel rolls</t>
  </si>
  <si>
    <t>Dawn dish soap</t>
  </si>
  <si>
    <t>Bleach</t>
  </si>
  <si>
    <t>Degreaser</t>
  </si>
  <si>
    <t>1 full</t>
  </si>
  <si>
    <t>Ziplock bags</t>
  </si>
  <si>
    <t>Need / Extras</t>
  </si>
  <si>
    <t>Needed Qty</t>
  </si>
  <si>
    <t>Category</t>
  </si>
  <si>
    <t>Notes</t>
  </si>
  <si>
    <t>In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</si>
</sst>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C1" workbookViewId="0"/>
  </sheetViews>
  <sheetFormatPr defaultRowHeight="15" x14ac:dyDescent="0.2"/>
  <cols>
    <col min="1" max="9" width="27.98046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s="2" t="s">
        <v>12</v>
      </c>
      <c r="E2" s="2"/>
      <c r="F2" s="2"/>
      <c r="G2" s="2"/>
      <c r="H2" s="2">
        <f>MAX(0,F2-D2)</f>
        <v>0</v>
      </c>
      <c r="I2" s="2">
        <f>MAX(0,(F2+G2)-(D2+E2))</f>
        <v>0</v>
      </c>
    </row>
    <row r="3" spans="1:9" x14ac:dyDescent="0.2">
      <c r="A3" t="s">
        <v>13</v>
      </c>
      <c r="B3" t="s">
        <v>10</v>
      </c>
      <c r="C3" t="s">
        <v>14</v>
      </c>
      <c r="D3" s="2" t="s">
        <v>15</v>
      </c>
      <c r="E3" s="2"/>
      <c r="F3" s="2"/>
      <c r="G3" s="2"/>
      <c r="H3" s="2">
        <f>MAX(0,F3-D3)</f>
        <v>0</v>
      </c>
      <c r="I3" s="2">
        <f>MAX(0,(F3+G3)-(D3+E3))</f>
        <v>0</v>
      </c>
    </row>
    <row r="4" spans="1:9" x14ac:dyDescent="0.2">
      <c r="A4" t="s">
        <v>16</v>
      </c>
      <c r="B4" t="s">
        <v>10</v>
      </c>
      <c r="C4" t="s">
        <v>17</v>
      </c>
      <c r="D4" s="2" t="s">
        <v>18</v>
      </c>
      <c r="E4" s="2"/>
      <c r="F4" s="2"/>
      <c r="G4" s="2"/>
      <c r="H4" s="2">
        <f>MAX(0,F4-D4)</f>
        <v>0</v>
      </c>
      <c r="I4" s="2">
        <f>MAX(0,(F4+G4)-(D4+E4))</f>
        <v>0</v>
      </c>
    </row>
    <row r="5" spans="1:9" x14ac:dyDescent="0.2">
      <c r="A5" t="s">
        <v>19</v>
      </c>
      <c r="B5" t="s">
        <v>10</v>
      </c>
      <c r="C5" t="s">
        <v>20</v>
      </c>
      <c r="D5" s="2" t="s">
        <v>21</v>
      </c>
      <c r="E5" s="2"/>
      <c r="F5" s="2"/>
      <c r="G5" s="2"/>
      <c r="H5" s="2">
        <f>MAX(0,F5-D5)</f>
        <v>0</v>
      </c>
      <c r="I5" s="2">
        <f>MAX(0,(F5+G5)-(D5+E5))</f>
        <v>0</v>
      </c>
    </row>
    <row r="6" spans="1:9" x14ac:dyDescent="0.2">
      <c r="A6" t="s">
        <v>22</v>
      </c>
      <c r="B6" t="s">
        <v>10</v>
      </c>
      <c r="C6" t="s">
        <v>23</v>
      </c>
      <c r="D6" s="2" t="s">
        <v>12</v>
      </c>
      <c r="E6" s="2"/>
      <c r="F6" s="2"/>
      <c r="G6" s="2"/>
      <c r="H6" s="2">
        <f>MAX(0,F6-D6)</f>
        <v>0</v>
      </c>
      <c r="I6" s="2">
        <f>MAX(0,(F6+G6)-(D6+E6))</f>
        <v>0</v>
      </c>
    </row>
    <row r="7" spans="1:9" x14ac:dyDescent="0.2">
      <c r="A7" t="s">
        <v>24</v>
      </c>
      <c r="B7" t="s">
        <v>10</v>
      </c>
      <c r="C7" t="s">
        <v>23</v>
      </c>
      <c r="D7" s="2" t="s">
        <v>12</v>
      </c>
      <c r="E7" s="2"/>
      <c r="F7" s="2"/>
      <c r="G7" s="2"/>
      <c r="H7" s="2">
        <f>MAX(0,F7-D7)</f>
        <v>0</v>
      </c>
      <c r="I7" s="2">
        <f>MAX(0,(F7+G7)-(D7+E7))</f>
        <v>0</v>
      </c>
    </row>
    <row r="8" spans="1:9" x14ac:dyDescent="0.2">
      <c r="A8" t="s">
        <v>25</v>
      </c>
      <c r="B8" t="s">
        <v>10</v>
      </c>
      <c r="C8" t="s">
        <v>26</v>
      </c>
      <c r="D8" s="2" t="s">
        <v>18</v>
      </c>
      <c r="E8" s="2"/>
      <c r="F8" s="2"/>
      <c r="G8" s="2"/>
      <c r="H8" s="2">
        <f>MAX(0,F8-D8)</f>
        <v>0</v>
      </c>
      <c r="I8" s="2">
        <f>MAX(0,(F8+G8)-(D8+E8))</f>
        <v>0</v>
      </c>
    </row>
    <row r="9" spans="1:9" x14ac:dyDescent="0.2">
      <c r="A9" t="s">
        <v>27</v>
      </c>
      <c r="B9" t="s">
        <v>10</v>
      </c>
      <c r="C9" t="s">
        <v>11</v>
      </c>
      <c r="D9" s="2" t="s">
        <v>12</v>
      </c>
      <c r="E9" s="2"/>
      <c r="F9" s="2"/>
      <c r="G9" s="2"/>
      <c r="H9" s="2">
        <f>MAX(0,F9-D9)</f>
        <v>0</v>
      </c>
      <c r="I9" s="2">
        <f>MAX(0,(F9+G9)-(D9+E9))</f>
        <v>0</v>
      </c>
    </row>
    <row r="10" spans="1:9" x14ac:dyDescent="0.2">
      <c r="A10" t="s">
        <v>28</v>
      </c>
      <c r="B10" t="s">
        <v>10</v>
      </c>
      <c r="C10" t="s">
        <v>29</v>
      </c>
      <c r="D10" s="2" t="s">
        <v>30</v>
      </c>
      <c r="E10" s="2"/>
      <c r="F10" s="2"/>
      <c r="G10" s="2"/>
      <c r="H10" s="2">
        <f>MAX(0,F10-D10)</f>
        <v>0</v>
      </c>
      <c r="I10" s="2">
        <f>MAX(0,(F10+G10)-(D10+E10))</f>
        <v>0</v>
      </c>
    </row>
    <row r="11" spans="1:9" x14ac:dyDescent="0.2">
      <c r="A11" t="s">
        <v>31</v>
      </c>
      <c r="B11" t="s">
        <v>10</v>
      </c>
      <c r="C11" t="s">
        <v>32</v>
      </c>
      <c r="D11" s="2" t="s">
        <v>32</v>
      </c>
      <c r="E11" s="2"/>
      <c r="F11" s="2"/>
      <c r="G11" s="2"/>
      <c r="H11" s="2" t="e">
        <f>MAX(0,F11-D11)</f>
        <v>#VALUE!</v>
      </c>
      <c r="I11" s="2" t="e">
        <f>MAX(0,(F11+G11)-(D11+E11))</f>
        <v>#VALUE!</v>
      </c>
    </row>
    <row r="12" spans="1:9" x14ac:dyDescent="0.2">
      <c r="A12" t="s">
        <v>33</v>
      </c>
      <c r="B12" t="s">
        <v>10</v>
      </c>
      <c r="C12" t="s">
        <v>34</v>
      </c>
      <c r="D12" s="2" t="s">
        <v>34</v>
      </c>
      <c r="E12" s="2"/>
      <c r="F12" s="2"/>
      <c r="G12" s="2"/>
      <c r="H12" s="2">
        <f>MAX(0,F12-D12)</f>
        <v>0</v>
      </c>
      <c r="I12" s="2">
        <f>MAX(0,(F12+G12)-(D12+E12))</f>
        <v>0</v>
      </c>
    </row>
    <row r="13" spans="1:9" x14ac:dyDescent="0.2">
      <c r="A13" t="s">
        <v>35</v>
      </c>
      <c r="B13" t="s">
        <v>10</v>
      </c>
      <c r="C13" t="s">
        <v>36</v>
      </c>
      <c r="D13" s="2" t="s">
        <v>37</v>
      </c>
      <c r="E13" s="2"/>
      <c r="F13" s="2"/>
      <c r="G13" s="2"/>
      <c r="H13" s="2">
        <f>MAX(0,F13-D13)</f>
        <v>0</v>
      </c>
      <c r="I13" s="2">
        <f>MAX(0,(F13+G13)-(D13+E13))</f>
        <v>0</v>
      </c>
    </row>
    <row r="14" spans="1:9" x14ac:dyDescent="0.2">
      <c r="A14" t="s">
        <v>38</v>
      </c>
      <c r="B14" t="s">
        <v>10</v>
      </c>
      <c r="C14" t="s">
        <v>39</v>
      </c>
      <c r="D14" s="2" t="s">
        <v>37</v>
      </c>
      <c r="E14" s="2"/>
      <c r="F14" s="2"/>
      <c r="G14" s="2"/>
      <c r="H14" s="2">
        <f>MAX(0,F14-D14)</f>
        <v>0</v>
      </c>
      <c r="I14" s="2">
        <f>MAX(0,(F14+G14)-(D14+E14))</f>
        <v>0</v>
      </c>
    </row>
    <row r="15" spans="1:9" x14ac:dyDescent="0.2">
      <c r="A15" t="s">
        <v>40</v>
      </c>
      <c r="B15" t="s">
        <v>10</v>
      </c>
      <c r="C15" t="s">
        <v>36</v>
      </c>
      <c r="D15" s="2" t="s">
        <v>37</v>
      </c>
      <c r="E15" s="2"/>
      <c r="F15" s="2"/>
      <c r="G15" s="2"/>
      <c r="H15" s="2">
        <f>MAX(0,F15-D15)</f>
        <v>0</v>
      </c>
      <c r="I15" s="2">
        <f>MAX(0,(F15+G15)-(D15+E15))</f>
        <v>0</v>
      </c>
    </row>
    <row r="16" spans="1:9" x14ac:dyDescent="0.2">
      <c r="A16" t="s">
        <v>41</v>
      </c>
      <c r="B16" t="s">
        <v>10</v>
      </c>
      <c r="C16" t="s">
        <v>42</v>
      </c>
      <c r="D16" s="2" t="s">
        <v>43</v>
      </c>
      <c r="E16" s="2"/>
      <c r="F16" s="2"/>
      <c r="G16" s="2"/>
      <c r="H16" s="2">
        <f>MAX(0,F16-D16)</f>
        <v>0</v>
      </c>
      <c r="I16" s="2">
        <f>MAX(0,(F16+G16)-(D16+E16))</f>
        <v>0</v>
      </c>
    </row>
    <row r="17" spans="1:9" x14ac:dyDescent="0.2">
      <c r="A17" t="s">
        <v>44</v>
      </c>
      <c r="B17" t="s">
        <v>10</v>
      </c>
      <c r="C17" t="s">
        <v>45</v>
      </c>
      <c r="D17" s="2" t="s">
        <v>12</v>
      </c>
      <c r="E17" s="2"/>
      <c r="F17" s="2"/>
      <c r="G17" s="2"/>
      <c r="H17" s="2">
        <f>MAX(0,F17-D17)</f>
        <v>0</v>
      </c>
      <c r="I17" s="2">
        <f>MAX(0,(F17+G17)-(D17+E17))</f>
        <v>0</v>
      </c>
    </row>
    <row r="18" spans="1:9" x14ac:dyDescent="0.2">
      <c r="A18" t="s">
        <v>46</v>
      </c>
      <c r="B18" t="s">
        <v>10</v>
      </c>
      <c r="C18" t="s">
        <v>47</v>
      </c>
      <c r="D18" s="2" t="s">
        <v>47</v>
      </c>
      <c r="E18" s="2"/>
      <c r="F18" s="2"/>
      <c r="G18" s="2"/>
      <c r="H18" s="2" t="e">
        <f>MAX(0,F18-D18)</f>
        <v>#VALUE!</v>
      </c>
      <c r="I18" s="2" t="e">
        <f>MAX(0,(F18+G18)-(D18+E18))</f>
        <v>#VALUE!</v>
      </c>
    </row>
    <row r="19" spans="1:9" x14ac:dyDescent="0.2">
      <c r="A19" t="s">
        <v>48</v>
      </c>
      <c r="B19" t="s">
        <v>10</v>
      </c>
      <c r="C19" t="s">
        <v>49</v>
      </c>
      <c r="D19" s="2" t="s">
        <v>49</v>
      </c>
      <c r="E19" s="2"/>
      <c r="F19" s="2"/>
      <c r="G19" s="2"/>
      <c r="H19" s="2">
        <f>MAX(0,F19-D19)</f>
        <v>0</v>
      </c>
      <c r="I19" s="2">
        <f>MAX(0,(F19+G19)-(D19+E19))</f>
        <v>0</v>
      </c>
    </row>
    <row r="20" spans="1:9" x14ac:dyDescent="0.2">
      <c r="A20" t="s">
        <v>50</v>
      </c>
      <c r="B20" t="s">
        <v>51</v>
      </c>
      <c r="C20" t="s">
        <v>52</v>
      </c>
      <c r="D20" s="2" t="s">
        <v>53</v>
      </c>
      <c r="E20" s="2"/>
      <c r="F20" s="2"/>
      <c r="G20" s="2"/>
      <c r="H20" s="2">
        <f>MAX(0,F20-D20)</f>
        <v>0</v>
      </c>
      <c r="I20" s="2">
        <f>MAX(0,(F20+G20)-(D20+E20))</f>
        <v>0</v>
      </c>
    </row>
    <row r="21" spans="1:9" x14ac:dyDescent="0.2">
      <c r="A21" t="s">
        <v>54</v>
      </c>
      <c r="B21" t="s">
        <v>51</v>
      </c>
      <c r="C21" t="s">
        <v>55</v>
      </c>
      <c r="D21" s="2" t="s">
        <v>15</v>
      </c>
      <c r="E21" s="2"/>
      <c r="F21" s="2"/>
      <c r="G21" s="2"/>
      <c r="H21" s="2">
        <f>MAX(0,F21-D21)</f>
        <v>0</v>
      </c>
      <c r="I21" s="2">
        <f>MAX(0,(F21+G21)-(D21+E21))</f>
        <v>0</v>
      </c>
    </row>
    <row r="22" spans="1:9" x14ac:dyDescent="0.2">
      <c r="A22" t="s">
        <v>56</v>
      </c>
      <c r="B22" t="s">
        <v>51</v>
      </c>
      <c r="C22" t="s">
        <v>57</v>
      </c>
      <c r="D22" s="2" t="s">
        <v>58</v>
      </c>
      <c r="E22" s="2"/>
      <c r="F22" s="2"/>
      <c r="G22" s="2"/>
      <c r="H22" s="2">
        <f>MAX(0,F22-D22)</f>
        <v>0</v>
      </c>
      <c r="I22" s="2">
        <f>MAX(0,(F22+G22)-(D22+E22))</f>
        <v>0</v>
      </c>
    </row>
    <row r="23" spans="1:9" x14ac:dyDescent="0.2">
      <c r="A23" t="s">
        <v>59</v>
      </c>
      <c r="B23" t="s">
        <v>51</v>
      </c>
      <c r="C23" t="s">
        <v>57</v>
      </c>
      <c r="D23" s="2" t="s">
        <v>58</v>
      </c>
      <c r="E23" s="2"/>
      <c r="F23" s="2"/>
      <c r="G23" s="2"/>
      <c r="H23" s="2">
        <f>MAX(0,F23-D23)</f>
        <v>0</v>
      </c>
      <c r="I23" s="2">
        <f>MAX(0,(F23+G23)-(D23+E23))</f>
        <v>0</v>
      </c>
    </row>
    <row r="24" spans="1:9" x14ac:dyDescent="0.2">
      <c r="A24" t="s">
        <v>60</v>
      </c>
      <c r="B24" t="s">
        <v>51</v>
      </c>
      <c r="C24" t="s">
        <v>61</v>
      </c>
      <c r="D24" s="2" t="s">
        <v>18</v>
      </c>
      <c r="E24" s="2"/>
      <c r="F24" s="2"/>
      <c r="G24" s="2"/>
      <c r="H24" s="2">
        <f>MAX(0,F24-D24)</f>
        <v>0</v>
      </c>
      <c r="I24" s="2">
        <f>MAX(0,(F24+G24)-(D24+E24))</f>
        <v>0</v>
      </c>
    </row>
    <row r="25" spans="1:9" x14ac:dyDescent="0.2">
      <c r="A25" t="s">
        <v>62</v>
      </c>
      <c r="B25" t="s">
        <v>51</v>
      </c>
      <c r="C25" t="s">
        <v>45</v>
      </c>
      <c r="D25" s="2" t="s">
        <v>12</v>
      </c>
      <c r="E25" s="2"/>
      <c r="F25" s="2"/>
      <c r="G25" s="2"/>
      <c r="H25" s="2">
        <f>MAX(0,F25-D25)</f>
        <v>0</v>
      </c>
      <c r="I25" s="2">
        <f>MAX(0,(F25+G25)-(D25+E25))</f>
        <v>0</v>
      </c>
    </row>
    <row r="26" spans="1:9" x14ac:dyDescent="0.2">
      <c r="A26" t="s">
        <v>63</v>
      </c>
      <c r="B26" t="s">
        <v>51</v>
      </c>
      <c r="C26" t="s">
        <v>45</v>
      </c>
      <c r="D26" s="2" t="s">
        <v>12</v>
      </c>
      <c r="E26" s="2"/>
      <c r="F26" s="2"/>
      <c r="G26" s="2"/>
      <c r="H26" s="2">
        <f>MAX(0,F26-D26)</f>
        <v>0</v>
      </c>
      <c r="I26" s="2">
        <f>MAX(0,(F26+G26)-(D26+E26))</f>
        <v>0</v>
      </c>
    </row>
    <row r="27" spans="1:9" x14ac:dyDescent="0.2">
      <c r="A27" t="s">
        <v>64</v>
      </c>
      <c r="B27" t="s">
        <v>51</v>
      </c>
      <c r="C27" t="s">
        <v>65</v>
      </c>
      <c r="D27" s="2" t="s">
        <v>37</v>
      </c>
      <c r="E27" s="2"/>
      <c r="F27" s="2"/>
      <c r="G27" s="2"/>
      <c r="H27" s="2">
        <f>MAX(0,F27-D27)</f>
        <v>0</v>
      </c>
      <c r="I27" s="2">
        <f>MAX(0,(F27+G27)-(D27+E27))</f>
        <v>0</v>
      </c>
    </row>
    <row r="28" spans="1:9" x14ac:dyDescent="0.2">
      <c r="A28" t="s">
        <v>66</v>
      </c>
      <c r="B28" t="s">
        <v>51</v>
      </c>
      <c r="C28" t="s">
        <v>67</v>
      </c>
      <c r="D28" s="2" t="s">
        <v>12</v>
      </c>
      <c r="E28" s="2"/>
      <c r="F28" s="2"/>
      <c r="G28" s="2"/>
      <c r="H28" s="2">
        <f>MAX(0,F28-D28)</f>
        <v>0</v>
      </c>
      <c r="I28" s="2">
        <f>MAX(0,(F28+G28)-(D28+E28))</f>
        <v>0</v>
      </c>
    </row>
    <row r="29" spans="1:9" x14ac:dyDescent="0.2">
      <c r="A29" t="s">
        <v>68</v>
      </c>
      <c r="B29" t="s">
        <v>51</v>
      </c>
      <c r="C29" t="s">
        <v>69</v>
      </c>
      <c r="D29" s="2" t="s">
        <v>70</v>
      </c>
      <c r="E29" s="2"/>
      <c r="F29" s="2"/>
      <c r="G29" s="2"/>
      <c r="H29" s="2">
        <f>MAX(0,F29-D29)</f>
        <v>0</v>
      </c>
      <c r="I29" s="2">
        <f>MAX(0,(F29+G29)-(D29+E29))</f>
        <v>0</v>
      </c>
    </row>
    <row r="30" spans="1:9" x14ac:dyDescent="0.2">
      <c r="A30" t="s">
        <v>71</v>
      </c>
      <c r="B30" t="s">
        <v>51</v>
      </c>
      <c r="C30" t="s">
        <v>72</v>
      </c>
      <c r="D30" s="2" t="s">
        <v>73</v>
      </c>
      <c r="E30" s="2"/>
      <c r="F30" s="2"/>
      <c r="G30" s="2"/>
      <c r="H30" s="2" t="e">
        <f>MAX(0,F30-D30)</f>
        <v>#VALUE!</v>
      </c>
      <c r="I30" s="2" t="e">
        <f>MAX(0,(F30+G30)-(D30+E30))</f>
        <v>#VALUE!</v>
      </c>
    </row>
    <row r="31" spans="1:9" x14ac:dyDescent="0.2">
      <c r="A31" t="s">
        <v>74</v>
      </c>
      <c r="B31" t="s">
        <v>51</v>
      </c>
      <c r="C31" t="s">
        <v>12</v>
      </c>
      <c r="D31" s="2" t="s">
        <v>12</v>
      </c>
      <c r="E31" s="2"/>
      <c r="F31" s="2"/>
      <c r="G31" s="2"/>
      <c r="H31" s="2">
        <f>MAX(0,F31-D31)</f>
        <v>0</v>
      </c>
      <c r="I31" s="2">
        <f>MAX(0,(F31+G31)-(D31+E31))</f>
        <v>0</v>
      </c>
    </row>
    <row r="32" spans="1:9" x14ac:dyDescent="0.2">
      <c r="A32" t="s">
        <v>75</v>
      </c>
      <c r="B32" t="s">
        <v>76</v>
      </c>
      <c r="C32" t="s">
        <v>77</v>
      </c>
      <c r="D32" s="2" t="s">
        <v>58</v>
      </c>
      <c r="E32" s="2"/>
      <c r="F32" s="2"/>
      <c r="G32" s="2"/>
      <c r="H32" s="2">
        <f>MAX(0,F32-D32)</f>
        <v>0</v>
      </c>
      <c r="I32" s="2">
        <f>MAX(0,(F32+G32)-(D32+E32))</f>
        <v>0</v>
      </c>
    </row>
    <row r="33" spans="1:9" x14ac:dyDescent="0.2">
      <c r="A33" t="s">
        <v>78</v>
      </c>
      <c r="B33" t="s">
        <v>76</v>
      </c>
      <c r="C33" t="s">
        <v>79</v>
      </c>
      <c r="D33" s="2" t="s">
        <v>37</v>
      </c>
      <c r="E33" s="2"/>
      <c r="F33" s="2"/>
      <c r="G33" s="2"/>
      <c r="H33" s="2">
        <f>MAX(0,F33-D33)</f>
        <v>0</v>
      </c>
      <c r="I33" s="2">
        <f>MAX(0,(F33+G33)-(D33+E33))</f>
        <v>0</v>
      </c>
    </row>
    <row r="34" spans="1:9" x14ac:dyDescent="0.2">
      <c r="A34" t="s">
        <v>80</v>
      </c>
      <c r="B34" t="s">
        <v>76</v>
      </c>
      <c r="C34" t="s">
        <v>79</v>
      </c>
      <c r="D34" s="2" t="s">
        <v>37</v>
      </c>
      <c r="E34" s="2"/>
      <c r="F34" s="2"/>
      <c r="G34" s="2"/>
      <c r="H34" s="2">
        <f>MAX(0,F34-D34)</f>
        <v>0</v>
      </c>
      <c r="I34" s="2">
        <f>MAX(0,(F34+G34)-(D34+E34))</f>
        <v>0</v>
      </c>
    </row>
    <row r="35" spans="1:9" x14ac:dyDescent="0.2">
      <c r="A35" t="s">
        <v>81</v>
      </c>
      <c r="B35" t="s">
        <v>76</v>
      </c>
      <c r="C35" t="s">
        <v>79</v>
      </c>
      <c r="D35" s="2" t="s">
        <v>37</v>
      </c>
      <c r="E35" s="2"/>
      <c r="F35" s="2"/>
      <c r="G35" s="2"/>
      <c r="H35" s="2">
        <f>MAX(0,F35-D35)</f>
        <v>0</v>
      </c>
      <c r="I35" s="2">
        <f>MAX(0,(F35+G35)-(D35+E35))</f>
        <v>0</v>
      </c>
    </row>
    <row r="36" spans="1:9" x14ac:dyDescent="0.2">
      <c r="A36" t="s">
        <v>82</v>
      </c>
      <c r="B36" t="s">
        <v>76</v>
      </c>
      <c r="C36" t="s">
        <v>83</v>
      </c>
      <c r="D36" s="2" t="s">
        <v>70</v>
      </c>
      <c r="E36" s="2"/>
      <c r="F36" s="2"/>
      <c r="G36" s="2"/>
      <c r="H36" s="2">
        <f>MAX(0,F36-D36)</f>
        <v>0</v>
      </c>
      <c r="I36" s="2">
        <f>MAX(0,(F36+G36)-(D36+E36))</f>
        <v>0</v>
      </c>
    </row>
    <row r="37" spans="1:9" x14ac:dyDescent="0.2">
      <c r="A37" t="s">
        <v>84</v>
      </c>
      <c r="B37" t="s">
        <v>76</v>
      </c>
      <c r="C37" t="s">
        <v>85</v>
      </c>
      <c r="D37" s="2" t="s">
        <v>86</v>
      </c>
      <c r="E37" s="2"/>
      <c r="F37" s="2"/>
      <c r="G37" s="2"/>
      <c r="H37" s="2">
        <f>MAX(0,F37-D37)</f>
        <v>0</v>
      </c>
      <c r="I37" s="2">
        <f>MAX(0,(F37+G37)-(D37+E37))</f>
        <v>0</v>
      </c>
    </row>
    <row r="38" spans="1:9" x14ac:dyDescent="0.2">
      <c r="A38" t="s">
        <v>87</v>
      </c>
      <c r="B38" t="s">
        <v>76</v>
      </c>
      <c r="C38" t="s">
        <v>88</v>
      </c>
      <c r="D38" s="2" t="s">
        <v>88</v>
      </c>
      <c r="E38" s="2"/>
      <c r="F38" s="2"/>
      <c r="G38" s="2"/>
      <c r="H38" s="2">
        <f>MAX(0,F38-D38)</f>
        <v>0</v>
      </c>
      <c r="I38" s="2">
        <f>MAX(0,(F38+G38)-(D38+E38))</f>
        <v>0</v>
      </c>
    </row>
    <row r="39" spans="1:9" x14ac:dyDescent="0.2">
      <c r="A39" t="s">
        <v>89</v>
      </c>
      <c r="B39" t="s">
        <v>76</v>
      </c>
      <c r="C39" t="s">
        <v>90</v>
      </c>
      <c r="D39" s="2" t="s">
        <v>12</v>
      </c>
      <c r="E39" s="2"/>
      <c r="F39" s="2"/>
      <c r="G39" s="2"/>
      <c r="H39" s="2">
        <f>MAX(0,F39-D39)</f>
        <v>0</v>
      </c>
      <c r="I39" s="2">
        <f>MAX(0,(F39+G39)-(D39+E39))</f>
        <v>0</v>
      </c>
    </row>
    <row r="40" spans="1:9" x14ac:dyDescent="0.2">
      <c r="A40" t="s">
        <v>91</v>
      </c>
      <c r="B40" t="s">
        <v>76</v>
      </c>
      <c r="C40" t="s">
        <v>92</v>
      </c>
      <c r="D40" s="2" t="s">
        <v>73</v>
      </c>
      <c r="E40" s="2"/>
      <c r="F40" s="2"/>
      <c r="G40" s="2"/>
      <c r="H40" s="2" t="e">
        <f>MAX(0,F40-D40)</f>
        <v>#VALUE!</v>
      </c>
      <c r="I40" s="2" t="e">
        <f>MAX(0,(F40+G40)-(D40+E40))</f>
        <v>#VALUE!</v>
      </c>
    </row>
    <row r="41" spans="1:9" x14ac:dyDescent="0.2">
      <c r="A41" t="s">
        <v>93</v>
      </c>
      <c r="B41" t="s">
        <v>76</v>
      </c>
      <c r="C41" t="s">
        <v>58</v>
      </c>
      <c r="D41" s="2" t="s">
        <v>58</v>
      </c>
      <c r="E41" s="2"/>
      <c r="F41" s="2"/>
      <c r="G41" s="2"/>
      <c r="H41" s="2">
        <f>MAX(0,F41-D41)</f>
        <v>0</v>
      </c>
      <c r="I41" s="2">
        <f>MAX(0,(F41+G41)-(D41+E41))</f>
        <v>0</v>
      </c>
    </row>
    <row r="42" spans="1:9" x14ac:dyDescent="0.2">
      <c r="A42" t="s">
        <v>94</v>
      </c>
      <c r="B42" t="s">
        <v>76</v>
      </c>
      <c r="C42" t="s">
        <v>58</v>
      </c>
      <c r="D42" s="2" t="s">
        <v>58</v>
      </c>
      <c r="E42" s="2"/>
      <c r="F42" s="2"/>
      <c r="G42" s="2"/>
      <c r="H42" s="2">
        <f>MAX(0,F42-D42)</f>
        <v>0</v>
      </c>
      <c r="I42" s="2">
        <f>MAX(0,(F42+G42)-(D42+E42))</f>
        <v>0</v>
      </c>
    </row>
    <row r="43" spans="1:9" x14ac:dyDescent="0.2">
      <c r="A43" t="s">
        <v>95</v>
      </c>
      <c r="B43" t="s">
        <v>76</v>
      </c>
      <c r="C43" t="s">
        <v>12</v>
      </c>
      <c r="D43" s="2" t="s">
        <v>12</v>
      </c>
      <c r="E43" s="2"/>
      <c r="F43" s="2"/>
      <c r="G43" s="2"/>
      <c r="H43" s="2">
        <f>MAX(0,F43-D43)</f>
        <v>0</v>
      </c>
      <c r="I43" s="2">
        <f>MAX(0,(F43+G43)-(D43+E43))</f>
        <v>0</v>
      </c>
    </row>
    <row r="44" spans="1:9" x14ac:dyDescent="0.2">
      <c r="A44" t="s">
        <v>96</v>
      </c>
      <c r="B44" t="s">
        <v>76</v>
      </c>
      <c r="C44" t="s">
        <v>67</v>
      </c>
      <c r="D44" s="2" t="s">
        <v>12</v>
      </c>
      <c r="E44" s="2"/>
      <c r="F44" s="2"/>
      <c r="G44" s="2"/>
      <c r="H44" s="2">
        <f>MAX(0,F44-D44)</f>
        <v>0</v>
      </c>
      <c r="I44" s="2">
        <f>MAX(0,(F44+G44)-(D44+E44))</f>
        <v>0</v>
      </c>
    </row>
    <row r="45" spans="1:9" x14ac:dyDescent="0.2">
      <c r="A45" t="s">
        <v>97</v>
      </c>
      <c r="B45" t="s">
        <v>76</v>
      </c>
      <c r="C45" t="s">
        <v>98</v>
      </c>
      <c r="D45" s="2" t="s">
        <v>86</v>
      </c>
      <c r="E45" s="2"/>
      <c r="F45" s="2"/>
      <c r="G45" s="2"/>
      <c r="H45" s="2">
        <f>MAX(0,F45-D45)</f>
        <v>0</v>
      </c>
      <c r="I45" s="2">
        <f>MAX(0,(F45+G45)-(D45+E45))</f>
        <v>0</v>
      </c>
    </row>
    <row r="46" spans="1:9" x14ac:dyDescent="0.2">
      <c r="A46" t="s">
        <v>99</v>
      </c>
      <c r="B46" t="s">
        <v>76</v>
      </c>
      <c r="C46" t="s">
        <v>90</v>
      </c>
      <c r="D46" s="2" t="s">
        <v>12</v>
      </c>
      <c r="E46" s="2"/>
      <c r="F46" s="2"/>
      <c r="G46" s="2"/>
      <c r="H46" s="2">
        <f>MAX(0,F46-D46)</f>
        <v>0</v>
      </c>
      <c r="I46" s="2">
        <f>MAX(0,(F46+G46)-(D46+E46))</f>
        <v>0</v>
      </c>
    </row>
    <row r="47" spans="1:9" x14ac:dyDescent="0.2">
      <c r="A47" t="s">
        <v>100</v>
      </c>
      <c r="B47" t="s">
        <v>76</v>
      </c>
      <c r="C47" t="s">
        <v>101</v>
      </c>
      <c r="D47" s="2" t="s">
        <v>12</v>
      </c>
      <c r="E47" s="2"/>
      <c r="F47" s="2"/>
      <c r="G47" s="2"/>
      <c r="H47" s="2">
        <f>MAX(0,F47-D47)</f>
        <v>0</v>
      </c>
      <c r="I47" s="2">
        <f>MAX(0,(F47+G47)-(D47+E47))</f>
        <v>0</v>
      </c>
    </row>
    <row r="48" spans="1:9" x14ac:dyDescent="0.2">
      <c r="A48" t="s">
        <v>102</v>
      </c>
      <c r="B48" t="s">
        <v>76</v>
      </c>
      <c r="C48" t="s">
        <v>101</v>
      </c>
      <c r="D48" s="2" t="s">
        <v>12</v>
      </c>
      <c r="E48" s="2"/>
      <c r="F48" s="2"/>
      <c r="G48" s="2"/>
      <c r="H48" s="2">
        <f>MAX(0,F48-D48)</f>
        <v>0</v>
      </c>
      <c r="I48" s="2">
        <f>MAX(0,(F48+G48)-(D48+E48))</f>
        <v>0</v>
      </c>
    </row>
    <row r="49" spans="1:9" x14ac:dyDescent="0.2">
      <c r="A49" t="s">
        <v>103</v>
      </c>
      <c r="B49" t="s">
        <v>76</v>
      </c>
      <c r="C49" t="s">
        <v>104</v>
      </c>
      <c r="D49" s="2" t="s">
        <v>105</v>
      </c>
      <c r="E49" s="2"/>
      <c r="F49" s="2"/>
      <c r="G49" s="2"/>
      <c r="H49" s="2" t="e">
        <f>MAX(0,F49-D49)</f>
        <v>#VALUE!</v>
      </c>
      <c r="I49" s="2" t="e">
        <f>MAX(0,(F49+G49)-(D49+E49))</f>
        <v>#VALUE!</v>
      </c>
    </row>
    <row r="50" spans="1:9" x14ac:dyDescent="0.2">
      <c r="A50" t="s">
        <v>106</v>
      </c>
      <c r="B50" t="s">
        <v>107</v>
      </c>
      <c r="C50" t="s">
        <v>108</v>
      </c>
      <c r="D50" s="2" t="s">
        <v>109</v>
      </c>
      <c r="E50" s="2"/>
      <c r="F50" s="2"/>
      <c r="G50" s="2"/>
      <c r="H50" s="2" t="e">
        <f>MAX(0,F50-D50)</f>
        <v>#VALUE!</v>
      </c>
      <c r="I50" s="2" t="e">
        <f>MAX(0,(F50+G50)-(D50+E50))</f>
        <v>#VALUE!</v>
      </c>
    </row>
    <row r="51" spans="1:9" x14ac:dyDescent="0.2">
      <c r="A51" t="s">
        <v>110</v>
      </c>
      <c r="B51" t="s">
        <v>107</v>
      </c>
      <c r="C51" t="s">
        <v>109</v>
      </c>
      <c r="D51" s="2" t="s">
        <v>109</v>
      </c>
      <c r="E51" s="2"/>
      <c r="F51" s="2"/>
      <c r="G51" s="2"/>
      <c r="H51" s="2" t="e">
        <f>MAX(0,F51-D51)</f>
        <v>#VALUE!</v>
      </c>
      <c r="I51" s="2" t="e">
        <f>MAX(0,(F51+G51)-(D51+E51))</f>
        <v>#VALUE!</v>
      </c>
    </row>
    <row r="52" spans="1:9" x14ac:dyDescent="0.2">
      <c r="A52" t="s">
        <v>111</v>
      </c>
      <c r="B52" t="s">
        <v>107</v>
      </c>
      <c r="C52" t="s">
        <v>112</v>
      </c>
      <c r="D52" s="2" t="s">
        <v>37</v>
      </c>
      <c r="E52" s="2"/>
      <c r="F52" s="2"/>
      <c r="G52" s="2"/>
      <c r="H52" s="2">
        <f>MAX(0,F52-D52)</f>
        <v>0</v>
      </c>
      <c r="I52" s="2">
        <f>MAX(0,(F52+G52)-(D52+E52))</f>
        <v>0</v>
      </c>
    </row>
    <row r="53" spans="1:9" x14ac:dyDescent="0.2">
      <c r="A53" t="s">
        <v>113</v>
      </c>
      <c r="B53" t="s">
        <v>107</v>
      </c>
      <c r="C53" t="s">
        <v>45</v>
      </c>
      <c r="D53" s="2" t="s">
        <v>12</v>
      </c>
      <c r="E53" s="2"/>
      <c r="F53" s="2"/>
      <c r="G53" s="2"/>
      <c r="H53" s="2">
        <f>MAX(0,F53-D53)</f>
        <v>0</v>
      </c>
      <c r="I53" s="2">
        <f>MAX(0,(F53+G53)-(D53+E53))</f>
        <v>0</v>
      </c>
    </row>
    <row r="54" spans="1:9" x14ac:dyDescent="0.2">
      <c r="A54" t="s">
        <v>114</v>
      </c>
      <c r="B54" t="s">
        <v>107</v>
      </c>
      <c r="C54" t="s">
        <v>115</v>
      </c>
      <c r="D54" s="2" t="s">
        <v>58</v>
      </c>
      <c r="E54" s="2"/>
      <c r="F54" s="2"/>
      <c r="G54" s="2"/>
      <c r="H54" s="2">
        <f>MAX(0,F54-D54)</f>
        <v>0</v>
      </c>
      <c r="I54" s="2">
        <f>MAX(0,(F54+G54)-(D54+E54))</f>
        <v>0</v>
      </c>
    </row>
    <row r="55" spans="1:9" x14ac:dyDescent="0.2">
      <c r="A55" t="s">
        <v>116</v>
      </c>
      <c r="B55" t="s">
        <v>107</v>
      </c>
      <c r="C55" t="s">
        <v>26</v>
      </c>
      <c r="D55" s="2" t="s">
        <v>18</v>
      </c>
      <c r="E55" s="2"/>
      <c r="F55" s="2"/>
      <c r="G55" s="2"/>
      <c r="H55" s="2">
        <f>MAX(0,F55-D55)</f>
        <v>0</v>
      </c>
      <c r="I55" s="2">
        <f>MAX(0,(F55+G55)-(D55+E55))</f>
        <v>0</v>
      </c>
    </row>
    <row r="56" spans="1:9" x14ac:dyDescent="0.2">
      <c r="A56" t="s">
        <v>117</v>
      </c>
      <c r="B56" t="s">
        <v>107</v>
      </c>
      <c r="C56" t="s">
        <v>115</v>
      </c>
      <c r="D56" s="2" t="s">
        <v>58</v>
      </c>
      <c r="E56" s="2"/>
      <c r="F56" s="2"/>
      <c r="G56" s="2"/>
      <c r="H56" s="2">
        <f>MAX(0,F56-D56)</f>
        <v>0</v>
      </c>
      <c r="I56" s="2">
        <f>MAX(0,(F56+G56)-(D56+E56))</f>
        <v>0</v>
      </c>
    </row>
    <row r="57" spans="1:9" x14ac:dyDescent="0.2">
      <c r="A57" t="s">
        <v>118</v>
      </c>
      <c r="B57" t="s">
        <v>107</v>
      </c>
      <c r="C57" t="s">
        <v>45</v>
      </c>
      <c r="D57" s="2" t="s">
        <v>12</v>
      </c>
      <c r="E57" s="2"/>
      <c r="F57" s="2"/>
      <c r="G57" s="2"/>
      <c r="H57" s="2">
        <f>MAX(0,F57-D57)</f>
        <v>0</v>
      </c>
      <c r="I57" s="2">
        <f>MAX(0,(F57+G57)-(D57+E57))</f>
        <v>0</v>
      </c>
    </row>
    <row r="58" spans="1:9" x14ac:dyDescent="0.2">
      <c r="A58" t="s">
        <v>119</v>
      </c>
      <c r="B58" t="s">
        <v>107</v>
      </c>
      <c r="C58" t="s">
        <v>115</v>
      </c>
      <c r="D58" s="2" t="s">
        <v>58</v>
      </c>
      <c r="E58" s="2"/>
      <c r="F58" s="2"/>
      <c r="G58" s="2"/>
      <c r="H58" s="2">
        <f>MAX(0,F58-D58)</f>
        <v>0</v>
      </c>
      <c r="I58" s="2">
        <f>MAX(0,(F58+G58)-(D58+E58))</f>
        <v>0</v>
      </c>
    </row>
    <row r="59" spans="1:9" x14ac:dyDescent="0.2">
      <c r="A59" t="s">
        <v>120</v>
      </c>
      <c r="B59" t="s">
        <v>107</v>
      </c>
      <c r="C59" t="s">
        <v>121</v>
      </c>
      <c r="D59" s="2" t="s">
        <v>12</v>
      </c>
      <c r="E59" s="2"/>
      <c r="F59" s="2"/>
      <c r="G59" s="2"/>
      <c r="H59" s="2">
        <f>MAX(0,F59-D59)</f>
        <v>0</v>
      </c>
      <c r="I59" s="2">
        <f>MAX(0,(F59+G59)-(D59+E59))</f>
        <v>0</v>
      </c>
    </row>
    <row r="60" spans="1:9" x14ac:dyDescent="0.2">
      <c r="A60" t="s">
        <v>122</v>
      </c>
      <c r="B60" t="s">
        <v>107</v>
      </c>
      <c r="C60" t="s">
        <v>123</v>
      </c>
      <c r="D60" s="2" t="s">
        <v>12</v>
      </c>
      <c r="E60" s="2"/>
      <c r="F60" s="2"/>
      <c r="G60" s="2"/>
      <c r="H60" s="2">
        <f>MAX(0,F60-D60)</f>
        <v>0</v>
      </c>
      <c r="I60" s="2">
        <f>MAX(0,(F60+G60)-(D60+E60))</f>
        <v>0</v>
      </c>
    </row>
    <row r="61" spans="1:9" x14ac:dyDescent="0.2">
      <c r="A61" t="s">
        <v>124</v>
      </c>
      <c r="B61" t="s">
        <v>107</v>
      </c>
      <c r="C61" t="s">
        <v>42</v>
      </c>
      <c r="D61" s="2" t="s">
        <v>43</v>
      </c>
      <c r="E61" s="2"/>
      <c r="F61" s="2"/>
      <c r="G61" s="2"/>
      <c r="H61" s="2">
        <f>MAX(0,F61-D61)</f>
        <v>0</v>
      </c>
      <c r="I61" s="2">
        <f>MAX(0,(F61+G61)-(D61+E61))</f>
        <v>0</v>
      </c>
    </row>
    <row r="62" spans="1:9" x14ac:dyDescent="0.2">
      <c r="A62" t="s">
        <v>125</v>
      </c>
      <c r="B62" t="s">
        <v>107</v>
      </c>
      <c r="C62" t="s">
        <v>45</v>
      </c>
      <c r="D62" s="2" t="s">
        <v>12</v>
      </c>
      <c r="E62" s="2"/>
      <c r="F62" s="2"/>
      <c r="G62" s="2"/>
      <c r="H62" s="2">
        <f>MAX(0,F62-D62)</f>
        <v>0</v>
      </c>
      <c r="I62" s="2">
        <f>MAX(0,(F62+G62)-(D62+E62))</f>
        <v>0</v>
      </c>
    </row>
    <row r="63" spans="1:9" x14ac:dyDescent="0.2">
      <c r="A63" t="s">
        <v>126</v>
      </c>
      <c r="B63" t="s">
        <v>107</v>
      </c>
      <c r="C63" t="s">
        <v>90</v>
      </c>
      <c r="D63" s="2" t="s">
        <v>12</v>
      </c>
      <c r="E63" s="2"/>
      <c r="F63" s="2"/>
      <c r="G63" s="2"/>
      <c r="H63" s="2">
        <f>MAX(0,F63-D63)</f>
        <v>0</v>
      </c>
      <c r="I63" s="2">
        <f>MAX(0,(F63+G63)-(D63+E63))</f>
        <v>0</v>
      </c>
    </row>
    <row r="64" spans="1:9" x14ac:dyDescent="0.2">
      <c r="A64" t="s">
        <v>127</v>
      </c>
      <c r="B64" t="s">
        <v>107</v>
      </c>
      <c r="C64" t="s">
        <v>12</v>
      </c>
      <c r="D64" s="2" t="s">
        <v>12</v>
      </c>
      <c r="E64" s="2"/>
      <c r="F64" s="2"/>
      <c r="G64" s="2"/>
      <c r="H64" s="2">
        <f>MAX(0,F64-D64)</f>
        <v>0</v>
      </c>
      <c r="I64" s="2">
        <f>MAX(0,(F64+G64)-(D64+E64))</f>
        <v>0</v>
      </c>
    </row>
    <row r="65" spans="1:9" x14ac:dyDescent="0.2">
      <c r="A65" t="s">
        <v>128</v>
      </c>
      <c r="B65" t="s">
        <v>107</v>
      </c>
      <c r="C65" t="s">
        <v>129</v>
      </c>
      <c r="D65" s="2" t="s">
        <v>129</v>
      </c>
      <c r="E65" s="2"/>
      <c r="F65" s="2"/>
      <c r="G65" s="2"/>
      <c r="H65" s="2" t="e">
        <f>MAX(0,F65-D65)</f>
        <v>#VALUE!</v>
      </c>
      <c r="I65" s="2" t="e">
        <f>MAX(0,(F65+G65)-(D65+E65))</f>
        <v>#VALUE!</v>
      </c>
    </row>
    <row r="66" spans="1:9" x14ac:dyDescent="0.2">
      <c r="A66" t="s">
        <v>130</v>
      </c>
      <c r="B66" t="s">
        <v>107</v>
      </c>
      <c r="C66" t="s">
        <v>112</v>
      </c>
      <c r="D66" s="2" t="s">
        <v>37</v>
      </c>
      <c r="E66" s="2"/>
      <c r="F66" s="2"/>
      <c r="G66" s="2"/>
      <c r="H66" s="2">
        <f>MAX(0,F66-D66)</f>
        <v>0</v>
      </c>
      <c r="I66" s="2">
        <f>MAX(0,(F66+G66)-(D66+E66))</f>
        <v>0</v>
      </c>
    </row>
    <row r="67" spans="1:9" x14ac:dyDescent="0.2">
      <c r="A67" t="s">
        <v>131</v>
      </c>
      <c r="B67" t="s">
        <v>107</v>
      </c>
      <c r="C67" t="s">
        <v>112</v>
      </c>
      <c r="D67" s="2" t="s">
        <v>37</v>
      </c>
      <c r="E67" s="2"/>
      <c r="F67" s="2"/>
      <c r="G67" s="2"/>
      <c r="H67" s="2">
        <f>MAX(0,F67-D67)</f>
        <v>0</v>
      </c>
      <c r="I67" s="2">
        <f>MAX(0,(F67+G67)-(D67+E67))</f>
        <v>0</v>
      </c>
    </row>
    <row r="68" spans="1:9" x14ac:dyDescent="0.2">
      <c r="A68" t="s">
        <v>132</v>
      </c>
      <c r="B68" t="s">
        <v>107</v>
      </c>
      <c r="C68" t="s">
        <v>70</v>
      </c>
      <c r="D68" s="2" t="s">
        <v>70</v>
      </c>
      <c r="E68" s="2"/>
      <c r="F68" s="2"/>
      <c r="G68" s="2"/>
      <c r="H68" s="2">
        <f>MAX(0,F68-D68)</f>
        <v>0</v>
      </c>
      <c r="I68" s="2">
        <f>MAX(0,(F68+G68)-(D68+E68))</f>
        <v>0</v>
      </c>
    </row>
    <row r="69" spans="1:9" x14ac:dyDescent="0.2">
      <c r="A69" t="s">
        <v>133</v>
      </c>
      <c r="B69" t="s">
        <v>107</v>
      </c>
      <c r="C69" t="s">
        <v>12</v>
      </c>
      <c r="D69" s="2" t="s">
        <v>12</v>
      </c>
      <c r="E69" s="2"/>
      <c r="F69" s="2"/>
      <c r="G69" s="2"/>
      <c r="H69" s="2">
        <f>MAX(0,F69-D69)</f>
        <v>0</v>
      </c>
      <c r="I69" s="2">
        <f>MAX(0,(F69+G69)-(D69+E69))</f>
        <v>0</v>
      </c>
    </row>
    <row r="70" spans="1:9" x14ac:dyDescent="0.2">
      <c r="A70" t="s">
        <v>134</v>
      </c>
      <c r="B70" t="s">
        <v>107</v>
      </c>
      <c r="C70" t="s">
        <v>86</v>
      </c>
      <c r="D70" s="2" t="s">
        <v>86</v>
      </c>
      <c r="E70" s="2"/>
      <c r="F70" s="2"/>
      <c r="G70" s="2"/>
      <c r="H70" s="2">
        <f>MAX(0,F70-D70)</f>
        <v>0</v>
      </c>
      <c r="I70" s="2">
        <f>MAX(0,(F70+G70)-(D70+E70))</f>
        <v>0</v>
      </c>
    </row>
    <row r="71" spans="1:9" x14ac:dyDescent="0.2">
      <c r="A71" t="s">
        <v>135</v>
      </c>
      <c r="B71" t="s">
        <v>107</v>
      </c>
      <c r="C71" t="s">
        <v>90</v>
      </c>
      <c r="D71" s="2" t="s">
        <v>12</v>
      </c>
      <c r="E71" s="2"/>
      <c r="F71" s="2"/>
      <c r="G71" s="2"/>
      <c r="H71" s="2">
        <f>MAX(0,F71-D71)</f>
        <v>0</v>
      </c>
      <c r="I71" s="2">
        <f>MAX(0,(F71+G71)-(D71+E71))</f>
        <v>0</v>
      </c>
    </row>
    <row r="72" spans="1:9" x14ac:dyDescent="0.2">
      <c r="A72" t="s">
        <v>136</v>
      </c>
      <c r="B72" t="s">
        <v>107</v>
      </c>
      <c r="C72" t="s">
        <v>58</v>
      </c>
      <c r="D72" s="2" t="s">
        <v>58</v>
      </c>
      <c r="E72" s="2"/>
      <c r="F72" s="2"/>
      <c r="G72" s="2"/>
      <c r="H72" s="2">
        <f>MAX(0,F72-D72)</f>
        <v>0</v>
      </c>
      <c r="I72" s="2">
        <f>MAX(0,(F72+G72)-(D72+E72))</f>
        <v>0</v>
      </c>
    </row>
    <row r="73" spans="1:9" x14ac:dyDescent="0.2">
      <c r="A73" t="s">
        <v>137</v>
      </c>
      <c r="B73" t="s">
        <v>107</v>
      </c>
      <c r="C73" t="s">
        <v>12</v>
      </c>
      <c r="D73" s="2" t="s">
        <v>12</v>
      </c>
      <c r="E73" s="2"/>
      <c r="F73" s="2"/>
      <c r="G73" s="2"/>
      <c r="H73" s="2">
        <f>MAX(0,F73-D73)</f>
        <v>0</v>
      </c>
      <c r="I73" s="2">
        <f>MAX(0,(F73+G73)-(D73+E73))</f>
        <v>0</v>
      </c>
    </row>
    <row r="74" spans="1:9" x14ac:dyDescent="0.2">
      <c r="A74" t="s">
        <v>138</v>
      </c>
      <c r="B74" t="s">
        <v>107</v>
      </c>
      <c r="C74" t="s">
        <v>139</v>
      </c>
      <c r="D74" s="2" t="s">
        <v>12</v>
      </c>
      <c r="E74" s="2"/>
      <c r="F74" s="2"/>
      <c r="G74" s="2"/>
      <c r="H74" s="2">
        <f>MAX(0,F74-D74)</f>
        <v>0</v>
      </c>
      <c r="I74" s="2">
        <f>MAX(0,(F74+G74)-(D74+E74))</f>
        <v>0</v>
      </c>
    </row>
    <row r="75" spans="1:9" x14ac:dyDescent="0.2">
      <c r="A75" t="s">
        <v>140</v>
      </c>
      <c r="B75" t="s">
        <v>141</v>
      </c>
      <c r="C75" t="s">
        <v>70</v>
      </c>
      <c r="D75" s="2" t="s">
        <v>70</v>
      </c>
      <c r="E75" s="2"/>
      <c r="F75" s="2"/>
      <c r="G75" s="2"/>
      <c r="H75" s="2">
        <f>MAX(0,F75-D75)</f>
        <v>0</v>
      </c>
      <c r="I75" s="2">
        <f>MAX(0,(F75+G75)-(D75+E75))</f>
        <v>0</v>
      </c>
    </row>
    <row r="76" spans="1:9" x14ac:dyDescent="0.2">
      <c r="A76" t="s">
        <v>142</v>
      </c>
      <c r="B76" t="s">
        <v>141</v>
      </c>
      <c r="C76" t="s">
        <v>143</v>
      </c>
      <c r="D76" s="2" t="s">
        <v>143</v>
      </c>
      <c r="E76" s="2"/>
      <c r="F76" s="2"/>
      <c r="G76" s="2"/>
      <c r="H76" s="2" t="e">
        <f>MAX(0,F76-D76)</f>
        <v>#VALUE!</v>
      </c>
      <c r="I76" s="2" t="e">
        <f>MAX(0,(F76+G76)-(D76+E76))</f>
        <v>#VALUE!</v>
      </c>
    </row>
    <row r="77" spans="1:9" x14ac:dyDescent="0.2">
      <c r="A77" t="s">
        <v>144</v>
      </c>
      <c r="B77" t="s">
        <v>141</v>
      </c>
      <c r="C77" t="s">
        <v>145</v>
      </c>
      <c r="D77" s="2" t="s">
        <v>37</v>
      </c>
      <c r="E77" s="2"/>
      <c r="F77" s="2"/>
      <c r="G77" s="2"/>
      <c r="H77" s="2">
        <f>MAX(0,F77-D77)</f>
        <v>0</v>
      </c>
      <c r="I77" s="2">
        <f>MAX(0,(F77+G77)-(D77+E77))</f>
        <v>0</v>
      </c>
    </row>
    <row r="78" spans="1:9" x14ac:dyDescent="0.2">
      <c r="A78" t="s">
        <v>146</v>
      </c>
      <c r="B78" t="s">
        <v>141</v>
      </c>
      <c r="C78" t="s">
        <v>45</v>
      </c>
      <c r="D78" s="2" t="s">
        <v>12</v>
      </c>
      <c r="E78" s="2"/>
      <c r="F78" s="2"/>
      <c r="G78" s="2"/>
      <c r="H78" s="2">
        <f>MAX(0,F78-D78)</f>
        <v>0</v>
      </c>
      <c r="I78" s="2">
        <f>MAX(0,(F78+G78)-(D78+E78))</f>
        <v>0</v>
      </c>
    </row>
    <row r="79" spans="1:9" x14ac:dyDescent="0.2">
      <c r="A79" t="s">
        <v>147</v>
      </c>
      <c r="B79" t="s">
        <v>141</v>
      </c>
      <c r="C79" t="s">
        <v>148</v>
      </c>
      <c r="D79" s="2" t="s">
        <v>21</v>
      </c>
      <c r="E79" s="2"/>
      <c r="F79" s="2"/>
      <c r="G79" s="2"/>
      <c r="H79" s="2">
        <f>MAX(0,F79-D79)</f>
        <v>0</v>
      </c>
      <c r="I79" s="2">
        <f>MAX(0,(F79+G79)-(D79+E79))</f>
        <v>0</v>
      </c>
    </row>
    <row r="80" spans="1:9" x14ac:dyDescent="0.2">
      <c r="A80" t="s">
        <v>149</v>
      </c>
      <c r="B80" t="s">
        <v>141</v>
      </c>
      <c r="C80" t="s">
        <v>150</v>
      </c>
      <c r="D80" s="2" t="s">
        <v>151</v>
      </c>
      <c r="E80" s="2"/>
      <c r="F80" s="2"/>
      <c r="G80" s="2"/>
      <c r="H80" s="2">
        <f>MAX(0,F80-D80)</f>
        <v>0</v>
      </c>
      <c r="I80" s="2">
        <f>MAX(0,(F80+G80)-(D80+E80))</f>
        <v>0</v>
      </c>
    </row>
    <row r="81" spans="1:9" x14ac:dyDescent="0.2">
      <c r="A81" t="s">
        <v>152</v>
      </c>
      <c r="B81" t="s">
        <v>141</v>
      </c>
      <c r="C81" t="s">
        <v>150</v>
      </c>
      <c r="D81" s="2" t="s">
        <v>151</v>
      </c>
      <c r="E81" s="2"/>
      <c r="F81" s="2"/>
      <c r="G81" s="2"/>
      <c r="H81" s="2">
        <f>MAX(0,F81-D81)</f>
        <v>0</v>
      </c>
      <c r="I81" s="2">
        <f>MAX(0,(F81+G81)-(D81+E81))</f>
        <v>0</v>
      </c>
    </row>
    <row r="82" spans="1:9" x14ac:dyDescent="0.2">
      <c r="A82" t="s">
        <v>153</v>
      </c>
      <c r="B82" t="s">
        <v>141</v>
      </c>
      <c r="C82" t="s">
        <v>32</v>
      </c>
      <c r="D82" s="2" t="s">
        <v>32</v>
      </c>
      <c r="E82" s="2"/>
      <c r="F82" s="2"/>
      <c r="G82" s="2"/>
      <c r="H82" s="2" t="e">
        <f>MAX(0,F82-D82)</f>
        <v>#VALUE!</v>
      </c>
      <c r="I82" s="2" t="e">
        <f>MAX(0,(F82+G82)-(D82+E82))</f>
        <v>#VALUE!</v>
      </c>
    </row>
    <row r="83" spans="1:9" x14ac:dyDescent="0.2">
      <c r="A83" t="s">
        <v>154</v>
      </c>
      <c r="B83" t="s">
        <v>141</v>
      </c>
      <c r="C83" t="s">
        <v>58</v>
      </c>
      <c r="D83" s="2" t="s">
        <v>58</v>
      </c>
      <c r="E83" s="2"/>
      <c r="F83" s="2"/>
      <c r="G83" s="2"/>
      <c r="H83" s="2">
        <f>MAX(0,F83-D83)</f>
        <v>0</v>
      </c>
      <c r="I83" s="2">
        <f>MAX(0,(F83+G83)-(D83+E83))</f>
        <v>0</v>
      </c>
    </row>
    <row r="84" spans="1:9" x14ac:dyDescent="0.2">
      <c r="A84" t="s">
        <v>155</v>
      </c>
      <c r="B84" t="s">
        <v>141</v>
      </c>
      <c r="C84" t="s">
        <v>148</v>
      </c>
      <c r="D84" s="2" t="s">
        <v>21</v>
      </c>
      <c r="E84" s="2"/>
      <c r="F84" s="2"/>
      <c r="G84" s="2"/>
      <c r="H84" s="2">
        <f>MAX(0,F84-D84)</f>
        <v>0</v>
      </c>
      <c r="I84" s="2">
        <f>MAX(0,(F84+G84)-(D84+E84))</f>
        <v>0</v>
      </c>
    </row>
    <row r="85" spans="1:9" x14ac:dyDescent="0.2">
      <c r="A85" t="s">
        <v>156</v>
      </c>
      <c r="B85" t="s">
        <v>141</v>
      </c>
      <c r="C85" t="s">
        <v>148</v>
      </c>
      <c r="D85" s="2" t="s">
        <v>21</v>
      </c>
      <c r="E85" s="2"/>
      <c r="F85" s="2"/>
      <c r="G85" s="2"/>
      <c r="H85" s="2">
        <f>MAX(0,F85-D85)</f>
        <v>0</v>
      </c>
      <c r="I85" s="2">
        <f>MAX(0,(F85+G85)-(D85+E85))</f>
        <v>0</v>
      </c>
    </row>
    <row r="86" spans="1:9" x14ac:dyDescent="0.2">
      <c r="A86" t="s">
        <v>157</v>
      </c>
      <c r="B86" t="s">
        <v>141</v>
      </c>
      <c r="C86" t="s">
        <v>158</v>
      </c>
      <c r="D86" s="2" t="s">
        <v>12</v>
      </c>
      <c r="E86" s="2"/>
      <c r="F86" s="2"/>
      <c r="G86" s="2"/>
      <c r="H86" s="2">
        <f>MAX(0,F86-D86)</f>
        <v>0</v>
      </c>
      <c r="I86" s="2">
        <f>MAX(0,(F86+G86)-(D86+E86))</f>
        <v>0</v>
      </c>
    </row>
    <row r="87" spans="1:9" x14ac:dyDescent="0.2">
      <c r="A87" t="s">
        <v>159</v>
      </c>
      <c r="B87" t="s">
        <v>160</v>
      </c>
      <c r="D87" s="2"/>
      <c r="E87" s="2"/>
      <c r="F87" s="2"/>
      <c r="G87" s="2"/>
      <c r="H87" s="2">
        <f>MAX(0,F87-D87)</f>
        <v>0</v>
      </c>
      <c r="I87" s="2">
        <f>MAX(0,(F87+G87)-(D87+E87))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161</v>
      </c>
      <c r="C1" t="s">
        <v>2</v>
      </c>
      <c r="D1" t="s">
        <v>162</v>
      </c>
      <c r="E1" t="s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"/>
  <sheetData>
    <row r="1" spans="1:6" x14ac:dyDescent="0.2">
      <c r="A1" t="s">
        <v>0</v>
      </c>
      <c r="B1" t="s">
        <v>2</v>
      </c>
      <c r="C1" t="s">
        <v>164</v>
      </c>
      <c r="D1" t="s">
        <v>5</v>
      </c>
      <c r="E1" t="s">
        <v>7</v>
      </c>
      <c r="F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INVENTORY</vt:lpstr>
      <vt:lpstr>SHOPPING LIST</vt:lpstr>
      <vt:lpstr>HOME→TRUCK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2025-11-06T00:13:32Z</dcterms:created>
  <dcterms:modified xsi:type="dcterms:W3CDTF">2025-11-06T00:13:32Z</dcterms:modified>
</cp:coreProperties>
</file>